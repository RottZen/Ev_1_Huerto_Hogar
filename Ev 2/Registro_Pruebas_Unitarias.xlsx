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Casos de Prueba" sheetId="2" state="visible" r:id="rId2"/>
    <sheet name="Resumen" sheetId="3" state="visible" r:id="rId3"/>
  </sheets>
  <definedNames>
    <definedName name="_xlnm._FilterDatabase" localSheetId="1" hidden="1">'Casos de Prueba'!$A$1:$L$201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9E5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top" wrapText="1"/>
    </xf>
    <xf numFmtId="164" fontId="9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top" wrapText="1"/>
    </xf>
    <xf numFmtId="164" fontId="9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Filas de ejemplo (2 a 4): bórrenlas o reemplácenlas por sus propios casos.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60" customWidth="1" style="20" min="2" max="2"/>
  </cols>
  <sheetData>
    <row r="1" ht="19.7" customHeight="1" s="21">
      <c r="A1" s="22" t="inlineStr">
        <is>
          <t>Registro de Pruebas Unitarias</t>
        </is>
      </c>
    </row>
    <row r="3" ht="15" customHeight="1" s="21">
      <c r="A3" s="23" t="inlineStr">
        <is>
          <t>Proyecto:</t>
        </is>
      </c>
      <c r="B3" s="24" t="n"/>
    </row>
    <row r="4" ht="15" customHeight="1" s="21">
      <c r="A4" s="23" t="inlineStr">
        <is>
          <t>Curso / Asignatura:</t>
        </is>
      </c>
      <c r="B4" s="24" t="n"/>
    </row>
    <row r="5" ht="15" customHeight="1" s="21">
      <c r="A5" s="23" t="inlineStr">
        <is>
          <t>Equipo / Integrantes:</t>
        </is>
      </c>
      <c r="B5" s="24" t="n"/>
    </row>
    <row r="6" ht="15" customHeight="1" s="21">
      <c r="A6" s="23" t="inlineStr">
        <is>
          <t>Lenguaje y framework de pruebas:</t>
        </is>
      </c>
      <c r="B6" s="25" t="inlineStr">
        <is>
          <t>Ej: Python + pytest, Java + JUnit, JS + Jest</t>
        </is>
      </c>
    </row>
    <row r="8" ht="15" customHeight="1" s="21">
      <c r="A8" s="26" t="inlineStr">
        <is>
          <t>Cómo usar esta planilla</t>
        </is>
      </c>
    </row>
    <row r="9" ht="15" customHeight="1" s="21">
      <c r="A9" s="27" t="inlineStr">
        <is>
          <t>1. Completen los datos del proyecto arriba (celdas amarillas).</t>
        </is>
      </c>
    </row>
    <row r="10" ht="15" customHeight="1" s="21">
      <c r="A10" s="27" t="inlineStr">
        <is>
          <t>2. En la hoja 'Casos de Prueba', agreguen una fila por cada caso de prueba (un test = una fila).</t>
        </is>
      </c>
    </row>
    <row r="11" ht="15" customHeight="1" s="21">
      <c r="A11" s="27" t="inlineStr">
        <is>
          <t>3. Las celdas amarillas son para completar; las filas 1–3 de ejemplo se pueden borrar o reemplazar.</t>
        </is>
      </c>
    </row>
    <row r="12" ht="15" customHeight="1" s="21">
      <c r="A12" s="27" t="inlineStr">
        <is>
          <t>4. Usen IDs correlativos: PU-001, PU-002, ... para poder referenciarlos en el informe.</t>
        </is>
      </c>
    </row>
    <row r="13" ht="15" customHeight="1" s="21">
      <c r="A13" s="27" t="inlineStr">
        <is>
          <t>5. 'Resultado esperado' se escribe ANTES de ejecutar; 'Resultado obtenido' DESPUÉS.</t>
        </is>
      </c>
    </row>
    <row r="14" ht="15" customHeight="1" s="21">
      <c r="A14" s="27" t="inlineStr">
        <is>
          <t>6. Elijan el Estado desde la lista: Pasó, Falló, Pendiente u Omitido.</t>
        </is>
      </c>
    </row>
    <row r="15" ht="15" customHeight="1" s="21">
      <c r="A15" s="27" t="inlineStr">
        <is>
          <t>7. Si un test falla, describan el error en 'Observaciones' y, al corregirlo, actualicen el estado.</t>
        </is>
      </c>
    </row>
    <row r="16" ht="15" customHeight="1" s="21">
      <c r="A16" s="27" t="inlineStr">
        <is>
          <t>8. La hoja 'Resumen' se calcula sola: no hay que escribir nada ahí.</t>
        </is>
      </c>
    </row>
    <row r="17" ht="15" customHeight="1" s="21">
      <c r="A17" s="27" t="n"/>
    </row>
    <row r="18" ht="15" customHeight="1" s="21">
      <c r="A18" s="23" t="inlineStr">
        <is>
          <t>Tipos de caso sugeridos:</t>
        </is>
      </c>
    </row>
    <row r="19" ht="15" customHeight="1" s="21">
      <c r="A19" s="27" t="inlineStr">
        <is>
          <t>• Caso normal: entrada válida típica.</t>
        </is>
      </c>
    </row>
    <row r="20" ht="15" customHeight="1" s="21">
      <c r="A20" s="27" t="inlineStr">
        <is>
          <t>• Caso borde: límites (0, vacío, máximo, mínimo, un solo elemento).</t>
        </is>
      </c>
    </row>
    <row r="21" ht="15" customHeight="1" s="21">
      <c r="A21" s="27" t="inlineStr">
        <is>
          <t>• Caso de error: entrada inválida que debería lanzar excepción o devolver error.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18" customWidth="1" style="20" min="2" max="2"/>
    <col width="20" customWidth="1" style="20" min="3" max="3"/>
    <col width="14" customWidth="1" style="20" min="4" max="4"/>
    <col width="34" customWidth="1" style="20" min="5" max="5"/>
    <col width="24" customWidth="1" style="20" min="6" max="8"/>
    <col width="12" customWidth="1" style="20" min="9" max="9"/>
    <col width="16" customWidth="1" style="20" min="10" max="10"/>
    <col width="14" customWidth="1" style="20" min="11" max="11"/>
    <col width="32" customWidth="1" style="20" min="12" max="12"/>
  </cols>
  <sheetData>
    <row r="1" ht="30" customHeight="1" s="21">
      <c r="A1" s="28" t="inlineStr">
        <is>
          <t>ID</t>
        </is>
      </c>
      <c r="B1" s="28" t="inlineStr">
        <is>
          <t>Módulo / Clase</t>
        </is>
      </c>
      <c r="C1" s="28" t="inlineStr">
        <is>
          <t>Función / Método</t>
        </is>
      </c>
      <c r="D1" s="28" t="inlineStr">
        <is>
          <t>Tipo de caso</t>
        </is>
      </c>
      <c r="E1" s="28" t="inlineStr">
        <is>
          <t>Descripción del caso</t>
        </is>
      </c>
      <c r="F1" s="28" t="inlineStr">
        <is>
          <t>Datos de entrada</t>
        </is>
      </c>
      <c r="G1" s="28" t="inlineStr">
        <is>
          <t>Resultado esperado</t>
        </is>
      </c>
      <c r="H1" s="28" t="inlineStr">
        <is>
          <t>Resultado obtenido</t>
        </is>
      </c>
      <c r="I1" s="28" t="inlineStr">
        <is>
          <t>Estado</t>
        </is>
      </c>
      <c r="J1" s="28" t="inlineStr">
        <is>
          <t>Responsable</t>
        </is>
      </c>
      <c r="K1" s="28" t="inlineStr">
        <is>
          <t>Fecha ejecución</t>
        </is>
      </c>
      <c r="L1" s="28" t="inlineStr">
        <is>
          <t>Observaciones</t>
        </is>
      </c>
    </row>
    <row r="2" ht="15" customHeight="1" s="21">
      <c r="A2" s="29" t="inlineStr">
        <is>
          <t>PU-001</t>
        </is>
      </c>
      <c r="B2" s="29" t="inlineStr">
        <is>
          <t>AuthContext</t>
        </is>
      </c>
      <c r="C2" s="29" t="inlineStr">
        <is>
          <t>initialize</t>
        </is>
      </c>
      <c r="D2" s="29" t="inlineStr">
        <is>
          <t>Normal</t>
        </is>
      </c>
      <c r="E2" s="29" t="inlineStr">
        <is>
          <t>Verifica inicializacion sin usuario</t>
        </is>
      </c>
      <c r="F2" s="29" t="inlineStr">
        <is>
          <t>N/A</t>
        </is>
      </c>
      <c r="G2" s="29" t="inlineStr">
        <is>
          <t>user es nulo</t>
        </is>
      </c>
      <c r="H2" s="29" t="inlineStr">
        <is>
          <t>user es nulo</t>
        </is>
      </c>
      <c r="I2" s="29" t="inlineStr">
        <is>
          <t>Paso</t>
        </is>
      </c>
      <c r="J2" s="29" t="inlineStr">
        <is>
          <t>TraiganmenAlJSON</t>
        </is>
      </c>
      <c r="K2" s="30" t="n">
        <v>46303</v>
      </c>
      <c r="L2" s="29" t="inlineStr">
        <is>
          <t>Vitest</t>
        </is>
      </c>
    </row>
    <row r="3" ht="15" customHeight="1" s="21">
      <c r="A3" s="29" t="inlineStr">
        <is>
          <t>PU-002</t>
        </is>
      </c>
      <c r="B3" s="29" t="inlineStr">
        <is>
          <t>AuthContext</t>
        </is>
      </c>
      <c r="C3" s="29" t="inlineStr">
        <is>
          <t>login()</t>
        </is>
      </c>
      <c r="D3" s="29" t="inlineStr">
        <is>
          <t>Normal</t>
        </is>
      </c>
      <c r="E3" s="29" t="inlineStr">
        <is>
          <t>Verifica login como admin</t>
        </is>
      </c>
      <c r="F3" s="29" t="inlineStr">
        <is>
          <t>email=admin@huertohogar.cl, pass=admin123</t>
        </is>
      </c>
      <c r="G3" s="29" t="inlineStr">
        <is>
          <t>role='admin'</t>
        </is>
      </c>
      <c r="H3" s="29" t="inlineStr">
        <is>
          <t>role='admin'</t>
        </is>
      </c>
      <c r="I3" s="29" t="inlineStr">
        <is>
          <t>Paso</t>
        </is>
      </c>
      <c r="J3" s="29" t="inlineStr">
        <is>
          <t>TraiganmenAlJSON</t>
        </is>
      </c>
      <c r="K3" s="30" t="n">
        <v>46303</v>
      </c>
      <c r="L3" s="29" t="inlineStr">
        <is>
          <t>Vitest</t>
        </is>
      </c>
    </row>
    <row r="4" ht="26.85" customHeight="1" s="21">
      <c r="A4" s="29" t="inlineStr">
        <is>
          <t>PU-003</t>
        </is>
      </c>
      <c r="B4" s="29" t="inlineStr">
        <is>
          <t>AuthContext</t>
        </is>
      </c>
      <c r="C4" s="29" t="inlineStr">
        <is>
          <t>logout()</t>
        </is>
      </c>
      <c r="D4" s="29" t="inlineStr">
        <is>
          <t>Normal</t>
        </is>
      </c>
      <c r="E4" s="29" t="inlineStr">
        <is>
          <t>Verifica cierre de sesion</t>
        </is>
      </c>
      <c r="F4" s="29" t="inlineStr">
        <is>
          <t>N/A</t>
        </is>
      </c>
      <c r="G4" s="29" t="inlineStr">
        <is>
          <t>user pasa a nulo</t>
        </is>
      </c>
      <c r="H4" s="29" t="inlineStr">
        <is>
          <t>user pasa a nulo</t>
        </is>
      </c>
      <c r="I4" s="29" t="inlineStr">
        <is>
          <t>Paso</t>
        </is>
      </c>
      <c r="J4" s="29" t="inlineStr">
        <is>
          <t>TraiganmenAlJSON</t>
        </is>
      </c>
      <c r="K4" s="30" t="n">
        <v>46303</v>
      </c>
      <c r="L4" s="29" t="inlineStr">
        <is>
          <t>Vitest</t>
        </is>
      </c>
    </row>
    <row r="5" ht="15" customHeight="1" s="21">
      <c r="A5" s="29" t="inlineStr">
        <is>
          <t>PU-004</t>
        </is>
      </c>
      <c r="B5" s="29" t="inlineStr">
        <is>
          <t>AuthContext</t>
        </is>
      </c>
      <c r="C5" s="29" t="inlineStr">
        <is>
          <t>register()</t>
        </is>
      </c>
      <c r="D5" s="29" t="inlineStr">
        <is>
          <t>Normal</t>
        </is>
      </c>
      <c r="E5" s="29" t="inlineStr">
        <is>
          <t>Verifica registro correcto</t>
        </is>
      </c>
      <c r="F5" s="29" t="inlineStr">
        <is>
          <t>Datos de nuevo usuario</t>
        </is>
      </c>
      <c r="G5" s="29" t="inlineStr">
        <is>
          <t>login automatico tras registro</t>
        </is>
      </c>
      <c r="H5" s="29" t="inlineStr">
        <is>
          <t>login automatico tras registro</t>
        </is>
      </c>
      <c r="I5" s="29" t="inlineStr">
        <is>
          <t>Paso</t>
        </is>
      </c>
      <c r="J5" s="29" t="inlineStr">
        <is>
          <t>TraiganmenAlJSON</t>
        </is>
      </c>
      <c r="K5" s="30" t="n">
        <v>46303</v>
      </c>
      <c r="L5" s="29" t="inlineStr">
        <is>
          <t>Vitest</t>
        </is>
      </c>
    </row>
    <row r="6" ht="15" customHeight="1" s="21">
      <c r="A6" s="29" t="inlineStr">
        <is>
          <t>PU-005</t>
        </is>
      </c>
      <c r="B6" s="29" t="inlineStr">
        <is>
          <t>CartContext</t>
        </is>
      </c>
      <c r="C6" s="29" t="inlineStr">
        <is>
          <t>addToCart()</t>
        </is>
      </c>
      <c r="D6" s="29" t="inlineStr">
        <is>
          <t>Normal</t>
        </is>
      </c>
      <c r="E6" s="29" t="inlineStr">
        <is>
          <t>Agrega producto al carrito</t>
        </is>
      </c>
      <c r="F6" s="29" t="inlineStr">
        <is>
          <t>Producto con ID 1</t>
        </is>
      </c>
      <c r="G6" s="29" t="inlineStr">
        <is>
          <t>cart length = 1</t>
        </is>
      </c>
      <c r="H6" s="29" t="inlineStr">
        <is>
          <t>cart length = 1</t>
        </is>
      </c>
      <c r="I6" s="29" t="inlineStr">
        <is>
          <t>Paso</t>
        </is>
      </c>
      <c r="J6" s="29" t="inlineStr">
        <is>
          <t>TraiganmenAlJSON</t>
        </is>
      </c>
      <c r="K6" s="30" t="n">
        <v>46303</v>
      </c>
      <c r="L6" s="29" t="inlineStr">
        <is>
          <t>Vitest</t>
        </is>
      </c>
    </row>
    <row r="7" ht="15" customHeight="1" s="21">
      <c r="A7" s="29" t="inlineStr">
        <is>
          <t>PU-006</t>
        </is>
      </c>
      <c r="B7" s="29" t="inlineStr">
        <is>
          <t>CartContext</t>
        </is>
      </c>
      <c r="C7" s="29" t="inlineStr">
        <is>
          <t>updateQuantity()</t>
        </is>
      </c>
      <c r="D7" s="29" t="inlineStr">
        <is>
          <t>Normal</t>
        </is>
      </c>
      <c r="E7" s="29" t="inlineStr">
        <is>
          <t>Actualiza cantidad</t>
        </is>
      </c>
      <c r="F7" s="29" t="inlineStr">
        <is>
          <t>id=1, qty=3</t>
        </is>
      </c>
      <c r="G7" s="29" t="inlineStr">
        <is>
          <t>quantity de item 1 es 3</t>
        </is>
      </c>
      <c r="H7" s="29" t="inlineStr">
        <is>
          <t>quantity de item 1 es 3</t>
        </is>
      </c>
      <c r="I7" s="29" t="inlineStr">
        <is>
          <t>Paso</t>
        </is>
      </c>
      <c r="J7" s="29" t="inlineStr">
        <is>
          <t>TraiganmenAlJSON</t>
        </is>
      </c>
      <c r="K7" s="30" t="n">
        <v>46303</v>
      </c>
      <c r="L7" s="29" t="inlineStr">
        <is>
          <t>Vitest</t>
        </is>
      </c>
    </row>
    <row r="8" ht="15" customHeight="1" s="21">
      <c r="A8" s="29" t="inlineStr">
        <is>
          <t>PU-007</t>
        </is>
      </c>
      <c r="B8" s="29" t="inlineStr">
        <is>
          <t>CartContext</t>
        </is>
      </c>
      <c r="C8" s="29" t="inlineStr">
        <is>
          <t>removeFromCart()</t>
        </is>
      </c>
      <c r="D8" s="29" t="inlineStr">
        <is>
          <t>Normal</t>
        </is>
      </c>
      <c r="E8" s="29" t="inlineStr">
        <is>
          <t>Elimina producto</t>
        </is>
      </c>
      <c r="F8" s="29" t="inlineStr">
        <is>
          <t>id=1</t>
        </is>
      </c>
      <c r="G8" s="29" t="inlineStr">
        <is>
          <t>Producto ya no esta en el carrito</t>
        </is>
      </c>
      <c r="H8" s="29" t="inlineStr">
        <is>
          <t>Producto eliminado correctamente</t>
        </is>
      </c>
      <c r="I8" s="29" t="inlineStr">
        <is>
          <t>Paso</t>
        </is>
      </c>
      <c r="J8" s="29" t="inlineStr">
        <is>
          <t>TraiganmenAlJSON</t>
        </is>
      </c>
      <c r="K8" s="30" t="n">
        <v>46303</v>
      </c>
      <c r="L8" s="29" t="inlineStr">
        <is>
          <t>Vitest</t>
        </is>
      </c>
    </row>
    <row r="9" ht="15" customHeight="1" s="21">
      <c r="A9" s="29" t="inlineStr">
        <is>
          <t>PU-008</t>
        </is>
      </c>
      <c r="B9" s="29" t="inlineStr">
        <is>
          <t>CartContext</t>
        </is>
      </c>
      <c r="C9" s="29" t="inlineStr">
        <is>
          <t>clearCart()</t>
        </is>
      </c>
      <c r="D9" s="29" t="inlineStr">
        <is>
          <t>Normal</t>
        </is>
      </c>
      <c r="E9" s="29" t="inlineStr">
        <is>
          <t>Limpia carrito</t>
        </is>
      </c>
      <c r="F9" s="29" t="inlineStr">
        <is>
          <t>N/A</t>
        </is>
      </c>
      <c r="G9" s="29" t="inlineStr">
        <is>
          <t>cart length = 0</t>
        </is>
      </c>
      <c r="H9" s="29" t="inlineStr">
        <is>
          <t>cart length = 0</t>
        </is>
      </c>
      <c r="I9" s="29" t="inlineStr">
        <is>
          <t>Paso</t>
        </is>
      </c>
      <c r="J9" s="29" t="inlineStr">
        <is>
          <t>TraiganmenAlJSON</t>
        </is>
      </c>
      <c r="K9" s="30" t="n">
        <v>46303</v>
      </c>
      <c r="L9" s="29" t="inlineStr">
        <is>
          <t>Vitest</t>
        </is>
      </c>
    </row>
    <row r="10" ht="15" customHeight="1" s="21">
      <c r="A10" s="29" t="inlineStr">
        <is>
          <t>PU-009</t>
        </is>
      </c>
      <c r="B10" s="29" t="inlineStr">
        <is>
          <t>ProductContext</t>
        </is>
      </c>
      <c r="C10" s="29" t="inlineStr">
        <is>
          <t>initialize</t>
        </is>
      </c>
      <c r="D10" s="29" t="inlineStr">
        <is>
          <t>Normal</t>
        </is>
      </c>
      <c r="E10" s="29" t="inlineStr">
        <is>
          <t>Verifica carga de catalogo</t>
        </is>
      </c>
      <c r="F10" s="29" t="inlineStr">
        <is>
          <t>N/A</t>
        </is>
      </c>
      <c r="G10" s="29" t="inlineStr">
        <is>
          <t>products array cargado</t>
        </is>
      </c>
      <c r="H10" s="29" t="inlineStr">
        <is>
          <t>products array cargado</t>
        </is>
      </c>
      <c r="I10" s="29" t="inlineStr">
        <is>
          <t>Paso</t>
        </is>
      </c>
      <c r="J10" s="29" t="inlineStr">
        <is>
          <t>TraiganmenAlJSON</t>
        </is>
      </c>
      <c r="K10" s="30" t="n">
        <v>46303</v>
      </c>
      <c r="L10" s="29" t="inlineStr">
        <is>
          <t>Vitest</t>
        </is>
      </c>
    </row>
    <row r="11" ht="15" customHeight="1" s="21">
      <c r="A11" s="29" t="inlineStr">
        <is>
          <t>PU-010</t>
        </is>
      </c>
      <c r="B11" s="29" t="inlineStr">
        <is>
          <t>ProductContext</t>
        </is>
      </c>
      <c r="C11" s="29" t="inlineStr">
        <is>
          <t>addProduct()</t>
        </is>
      </c>
      <c r="D11" s="29" t="inlineStr">
        <is>
          <t>Normal</t>
        </is>
      </c>
      <c r="E11" s="29" t="inlineStr">
        <is>
          <t>Agrega y elimina producto</t>
        </is>
      </c>
      <c r="F11" s="29" t="inlineStr">
        <is>
          <t>Producto nuevo</t>
        </is>
      </c>
      <c r="G11" s="29" t="inlineStr">
        <is>
          <t>El producto aparece y desaparece</t>
        </is>
      </c>
      <c r="H11" s="29" t="inlineStr">
        <is>
          <t>Funciona OK</t>
        </is>
      </c>
      <c r="I11" s="29" t="inlineStr">
        <is>
          <t>Paso</t>
        </is>
      </c>
      <c r="J11" s="29" t="inlineStr">
        <is>
          <t>TraiganmenAlJSON</t>
        </is>
      </c>
      <c r="K11" s="30" t="n">
        <v>46303</v>
      </c>
      <c r="L11" s="29" t="inlineStr">
        <is>
          <t>Vitest</t>
        </is>
      </c>
    </row>
    <row r="12" ht="15" customHeight="1" s="21">
      <c r="A12" s="29" t="inlineStr">
        <is>
          <t>PU-011</t>
        </is>
      </c>
      <c r="B12" s="29" t="inlineStr">
        <is>
          <t>Navbar</t>
        </is>
      </c>
      <c r="C12" s="29" t="inlineStr">
        <is>
          <t>Render</t>
        </is>
      </c>
      <c r="D12" s="29" t="inlineStr">
        <is>
          <t>DOM</t>
        </is>
      </c>
      <c r="E12" s="29" t="inlineStr">
        <is>
          <t>Verifica links base</t>
        </is>
      </c>
      <c r="F12" s="29" t="inlineStr">
        <is>
          <t>N/A</t>
        </is>
      </c>
      <c r="G12" s="29" t="inlineStr">
        <is>
          <t>Renderiza links publicos</t>
        </is>
      </c>
      <c r="H12" s="29" t="inlineStr">
        <is>
          <t>Renderiza links publicos</t>
        </is>
      </c>
      <c r="I12" s="29" t="inlineStr">
        <is>
          <t>Paso</t>
        </is>
      </c>
      <c r="J12" s="29" t="inlineStr">
        <is>
          <t>TraiganmenAlJSON</t>
        </is>
      </c>
      <c r="K12" s="30" t="n">
        <v>46303</v>
      </c>
      <c r="L12" s="29" t="inlineStr">
        <is>
          <t>RTL</t>
        </is>
      </c>
    </row>
    <row r="13" ht="15" customHeight="1" s="21">
      <c r="A13" s="29" t="inlineStr">
        <is>
          <t>PU-012</t>
        </is>
      </c>
      <c r="B13" s="29" t="inlineStr">
        <is>
          <t>Navbar</t>
        </is>
      </c>
      <c r="C13" s="29" t="inlineStr">
        <is>
          <t>Render</t>
        </is>
      </c>
      <c r="D13" s="29" t="inlineStr">
        <is>
          <t>Normal</t>
        </is>
      </c>
      <c r="E13" s="29" t="inlineStr">
        <is>
          <t>Muestra contador del carrito</t>
        </is>
      </c>
      <c r="F13" s="29" t="inlineStr">
        <is>
          <t>Cart length = 5</t>
        </is>
      </c>
      <c r="G13" s="29" t="inlineStr">
        <is>
          <t>Badge muestra 5</t>
        </is>
      </c>
      <c r="H13" s="29" t="inlineStr">
        <is>
          <t>Badge muestra 5</t>
        </is>
      </c>
      <c r="I13" s="29" t="inlineStr">
        <is>
          <t>Paso</t>
        </is>
      </c>
      <c r="J13" s="29" t="inlineStr">
        <is>
          <t>TraiganmenAlJSON</t>
        </is>
      </c>
      <c r="K13" s="30" t="n">
        <v>46303</v>
      </c>
      <c r="L13" s="29" t="inlineStr">
        <is>
          <t>RTL</t>
        </is>
      </c>
    </row>
    <row r="14" ht="15" customHeight="1" s="21">
      <c r="A14" s="29" t="inlineStr">
        <is>
          <t>PU-013</t>
        </is>
      </c>
      <c r="B14" s="29" t="inlineStr">
        <is>
          <t>Navbar</t>
        </is>
      </c>
      <c r="C14" s="29" t="inlineStr">
        <is>
          <t>Render</t>
        </is>
      </c>
      <c r="D14" s="29" t="inlineStr">
        <is>
          <t>Normal</t>
        </is>
      </c>
      <c r="E14" s="29" t="inlineStr">
        <is>
          <t>Estado de sesion</t>
        </is>
      </c>
      <c r="F14" s="29" t="inlineStr">
        <is>
          <t>Usuario loggeado</t>
        </is>
      </c>
      <c r="G14" s="29" t="inlineStr">
        <is>
          <t>Renderiza boton Salir</t>
        </is>
      </c>
      <c r="H14" s="29" t="inlineStr">
        <is>
          <t>Renderiza boton Salir</t>
        </is>
      </c>
      <c r="I14" s="29" t="inlineStr">
        <is>
          <t>Paso</t>
        </is>
      </c>
      <c r="J14" s="29" t="inlineStr">
        <is>
          <t>TraiganmenAlJSON</t>
        </is>
      </c>
      <c r="K14" s="30" t="n">
        <v>46303</v>
      </c>
      <c r="L14" s="29" t="inlineStr">
        <is>
          <t>RTL</t>
        </is>
      </c>
    </row>
    <row r="15" ht="15" customHeight="1" s="21">
      <c r="A15" s="29" t="inlineStr">
        <is>
          <t>PU-014</t>
        </is>
      </c>
      <c r="B15" s="29" t="inlineStr">
        <is>
          <t>Navbar</t>
        </is>
      </c>
      <c r="C15" s="29" t="inlineStr">
        <is>
          <t>Render</t>
        </is>
      </c>
      <c r="D15" s="29" t="inlineStr">
        <is>
          <t>Normal</t>
        </is>
      </c>
      <c r="E15" s="29" t="inlineStr">
        <is>
          <t>Link de Admin</t>
        </is>
      </c>
      <c r="F15" s="29" t="inlineStr">
        <is>
          <t>Usuario admin</t>
        </is>
      </c>
      <c r="G15" s="29" t="inlineStr">
        <is>
          <t>Renderiza Panel de Control</t>
        </is>
      </c>
      <c r="H15" s="29" t="inlineStr">
        <is>
          <t>Renderiza Panel de Control</t>
        </is>
      </c>
      <c r="I15" s="29" t="inlineStr">
        <is>
          <t>Paso</t>
        </is>
      </c>
      <c r="J15" s="29" t="inlineStr">
        <is>
          <t>TraiganmenAlJSON</t>
        </is>
      </c>
      <c r="K15" s="30" t="n">
        <v>46303</v>
      </c>
      <c r="L15" s="29" t="inlineStr">
        <is>
          <t>RTL</t>
        </is>
      </c>
    </row>
    <row r="16" ht="15" customHeight="1" s="21">
      <c r="A16" s="29" t="inlineStr">
        <is>
          <t>PU-015</t>
        </is>
      </c>
      <c r="B16" s="29" t="inlineStr">
        <is>
          <t>Footer</t>
        </is>
      </c>
      <c r="C16" s="29" t="inlineStr">
        <is>
          <t>Render</t>
        </is>
      </c>
      <c r="D16" s="29" t="inlineStr">
        <is>
          <t>DOM</t>
        </is>
      </c>
      <c r="E16" s="29" t="inlineStr">
        <is>
          <t>Copyright</t>
        </is>
      </c>
      <c r="F16" s="29" t="inlineStr">
        <is>
          <t>N/A</t>
        </is>
      </c>
      <c r="G16" s="29" t="inlineStr">
        <is>
          <t>Muestra anio actual</t>
        </is>
      </c>
      <c r="H16" s="29" t="inlineStr">
        <is>
          <t>Muestra anio actual</t>
        </is>
      </c>
      <c r="I16" s="29" t="inlineStr">
        <is>
          <t>Paso</t>
        </is>
      </c>
      <c r="J16" s="29" t="inlineStr">
        <is>
          <t>TraiganmenAlJSON</t>
        </is>
      </c>
      <c r="K16" s="30" t="n">
        <v>46303</v>
      </c>
      <c r="L16" s="29" t="inlineStr">
        <is>
          <t>RTL</t>
        </is>
      </c>
    </row>
    <row r="17" ht="15" customHeight="1" s="21">
      <c r="A17" s="29" t="inlineStr">
        <is>
          <t>PU-016</t>
        </is>
      </c>
      <c r="B17" s="29" t="inlineStr">
        <is>
          <t>ProductCard</t>
        </is>
      </c>
      <c r="C17" s="29" t="inlineStr">
        <is>
          <t>Render</t>
        </is>
      </c>
      <c r="D17" s="29" t="inlineStr">
        <is>
          <t>DOM</t>
        </is>
      </c>
      <c r="E17" s="29" t="inlineStr">
        <is>
          <t>Muestra detalles</t>
        </is>
      </c>
      <c r="F17" s="29" t="inlineStr">
        <is>
          <t>Mock product</t>
        </is>
      </c>
      <c r="G17" s="29" t="inlineStr">
        <is>
          <t>Renderiza titulo y precio</t>
        </is>
      </c>
      <c r="H17" s="29" t="inlineStr">
        <is>
          <t>Renderiza titulo y precio</t>
        </is>
      </c>
      <c r="I17" s="29" t="inlineStr">
        <is>
          <t>Paso</t>
        </is>
      </c>
      <c r="J17" s="29" t="inlineStr">
        <is>
          <t>TraiganmenAlJSON</t>
        </is>
      </c>
      <c r="K17" s="30" t="n">
        <v>46303</v>
      </c>
      <c r="L17" s="29" t="inlineStr">
        <is>
          <t>RTL</t>
        </is>
      </c>
    </row>
    <row r="18" ht="15" customHeight="1" s="21">
      <c r="A18" s="29" t="inlineStr">
        <is>
          <t>PU-017</t>
        </is>
      </c>
      <c r="B18" s="29" t="inlineStr">
        <is>
          <t>ProductCard</t>
        </is>
      </c>
      <c r="C18" s="29" t="inlineStr">
        <is>
          <t>onAddToCart()</t>
        </is>
      </c>
      <c r="D18" s="29" t="inlineStr">
        <is>
          <t>Normal</t>
        </is>
      </c>
      <c r="E18" s="29" t="inlineStr">
        <is>
          <t>Click boton agregar (custom)</t>
        </is>
      </c>
      <c r="F18" s="29" t="inlineStr">
        <is>
          <t>Mock function</t>
        </is>
      </c>
      <c r="G18" s="29" t="inlineStr">
        <is>
          <t>Llama la funcion custom</t>
        </is>
      </c>
      <c r="H18" s="29" t="inlineStr">
        <is>
          <t>Llama la funcion custom</t>
        </is>
      </c>
      <c r="I18" s="29" t="inlineStr">
        <is>
          <t>Paso</t>
        </is>
      </c>
      <c r="J18" s="29" t="inlineStr">
        <is>
          <t>TraiganmenAlJSON</t>
        </is>
      </c>
      <c r="K18" s="30" t="n">
        <v>46303</v>
      </c>
      <c r="L18" s="29" t="inlineStr">
        <is>
          <t>RTL</t>
        </is>
      </c>
    </row>
    <row r="19" ht="15" customHeight="1" s="21">
      <c r="A19" s="29" t="inlineStr">
        <is>
          <t>PU-018</t>
        </is>
      </c>
      <c r="B19" s="29" t="inlineStr">
        <is>
          <t>ProductCard</t>
        </is>
      </c>
      <c r="C19" s="29" t="inlineStr">
        <is>
          <t>addToCart()</t>
        </is>
      </c>
      <c r="D19" s="29" t="inlineStr">
        <is>
          <t>Normal</t>
        </is>
      </c>
      <c r="E19" s="29" t="inlineStr">
        <is>
          <t>Click boton agregar (Context)</t>
        </is>
      </c>
      <c r="F19" s="29" t="inlineStr">
        <is>
          <t>Context Mock</t>
        </is>
      </c>
      <c r="G19" s="29" t="inlineStr">
        <is>
          <t>Llama Context.addToCart</t>
        </is>
      </c>
      <c r="H19" s="29" t="inlineStr">
        <is>
          <t>Llama Context.addToCart</t>
        </is>
      </c>
      <c r="I19" s="29" t="inlineStr">
        <is>
          <t>Paso</t>
        </is>
      </c>
      <c r="J19" s="29" t="inlineStr">
        <is>
          <t>TraiganmenAlJSON</t>
        </is>
      </c>
      <c r="K19" s="30" t="n">
        <v>46303</v>
      </c>
      <c r="L19" s="29" t="inlineStr">
        <is>
          <t>RTL</t>
        </is>
      </c>
    </row>
    <row r="20" ht="15" customHeight="1" s="21">
      <c r="A20" s="29" t="inlineStr">
        <is>
          <t>PU-019</t>
        </is>
      </c>
      <c r="B20" s="29" t="inlineStr">
        <is>
          <t>Inicio</t>
        </is>
      </c>
      <c r="C20" s="29" t="inlineStr">
        <is>
          <t>Render</t>
        </is>
      </c>
      <c r="D20" s="29" t="inlineStr">
        <is>
          <t>DOM</t>
        </is>
      </c>
      <c r="E20" s="29" t="inlineStr">
        <is>
          <t>Hero y productos</t>
        </is>
      </c>
      <c r="F20" s="29" t="inlineStr">
        <is>
          <t>N/A</t>
        </is>
      </c>
      <c r="G20" s="29" t="inlineStr">
        <is>
          <t>Muestra 4 productos al azar</t>
        </is>
      </c>
      <c r="H20" s="29" t="inlineStr">
        <is>
          <t>Muestra 4 productos al azar</t>
        </is>
      </c>
      <c r="I20" s="29" t="inlineStr">
        <is>
          <t>Paso</t>
        </is>
      </c>
      <c r="J20" s="29" t="inlineStr">
        <is>
          <t>TraiganmenAlJSON</t>
        </is>
      </c>
      <c r="K20" s="30" t="n">
        <v>46303</v>
      </c>
      <c r="L20" s="29" t="inlineStr">
        <is>
          <t>RTL</t>
        </is>
      </c>
    </row>
    <row r="21" ht="15" customHeight="1" s="21">
      <c r="A21" s="29" t="inlineStr">
        <is>
          <t>PU-020</t>
        </is>
      </c>
      <c r="B21" s="29" t="inlineStr">
        <is>
          <t>Catalogo</t>
        </is>
      </c>
      <c r="C21" s="29" t="inlineStr">
        <is>
          <t>Filtro</t>
        </is>
      </c>
      <c r="D21" s="29" t="inlineStr">
        <is>
          <t>Normal</t>
        </is>
      </c>
      <c r="E21" s="29" t="inlineStr">
        <is>
          <t>Buscar producto</t>
        </is>
      </c>
      <c r="F21" s="29" t="inlineStr">
        <is>
          <t>Termino 'Tomate'</t>
        </is>
      </c>
      <c r="G21" s="29" t="inlineStr">
        <is>
          <t>Filtra tomate unicamente</t>
        </is>
      </c>
      <c r="H21" s="29" t="inlineStr">
        <is>
          <t>Filtra tomate unicamente</t>
        </is>
      </c>
      <c r="I21" s="29" t="inlineStr">
        <is>
          <t>Paso</t>
        </is>
      </c>
      <c r="J21" s="29" t="inlineStr">
        <is>
          <t>TraiganmenAlJSON</t>
        </is>
      </c>
      <c r="K21" s="30" t="n">
        <v>46303</v>
      </c>
      <c r="L21" s="29" t="inlineStr">
        <is>
          <t>RTL</t>
        </is>
      </c>
    </row>
    <row r="22" ht="15" customHeight="1" s="21">
      <c r="A22" s="29" t="inlineStr">
        <is>
          <t>PU-021</t>
        </is>
      </c>
      <c r="B22" s="29" t="inlineStr">
        <is>
          <t>Carrito</t>
        </is>
      </c>
      <c r="C22" s="29" t="inlineStr">
        <is>
          <t>Render</t>
        </is>
      </c>
      <c r="D22" s="29" t="inlineStr">
        <is>
          <t>DOM</t>
        </is>
      </c>
      <c r="E22" s="29" t="inlineStr">
        <is>
          <t>Carrito vacio</t>
        </is>
      </c>
      <c r="F22" s="29" t="inlineStr">
        <is>
          <t>N/A</t>
        </is>
      </c>
      <c r="G22" s="29" t="inlineStr">
        <is>
          <t>Muestra texto de vacio</t>
        </is>
      </c>
      <c r="H22" s="29" t="inlineStr">
        <is>
          <t>Muestra texto de vacio</t>
        </is>
      </c>
      <c r="I22" s="29" t="inlineStr">
        <is>
          <t>Paso</t>
        </is>
      </c>
      <c r="J22" s="29" t="inlineStr">
        <is>
          <t>TraiganmenAlJSON</t>
        </is>
      </c>
      <c r="K22" s="30" t="n">
        <v>46303</v>
      </c>
      <c r="L22" s="29" t="inlineStr">
        <is>
          <t>RTL</t>
        </is>
      </c>
    </row>
    <row r="23" ht="15" customHeight="1" s="21">
      <c r="A23" s="29" t="inlineStr">
        <is>
          <t>PU-022</t>
        </is>
      </c>
      <c r="B23" s="29" t="inlineStr">
        <is>
          <t>Carrito</t>
        </is>
      </c>
      <c r="C23" s="29" t="inlineStr">
        <is>
          <t>Checkout</t>
        </is>
      </c>
      <c r="D23" s="29" t="inlineStr">
        <is>
          <t>Normal</t>
        </is>
      </c>
      <c r="E23" s="29" t="inlineStr">
        <is>
          <t>Procesar pago</t>
        </is>
      </c>
      <c r="F23" s="29" t="inlineStr">
        <is>
          <t>Productos en carrito</t>
        </is>
      </c>
      <c r="G23" s="29" t="inlineStr">
        <is>
          <t>Llama confirmacion via alert</t>
        </is>
      </c>
      <c r="H23" s="29" t="inlineStr">
        <is>
          <t>Llama confirmacion</t>
        </is>
      </c>
      <c r="I23" s="29" t="inlineStr">
        <is>
          <t>Paso</t>
        </is>
      </c>
      <c r="J23" s="29" t="inlineStr">
        <is>
          <t>TraiganmenAlJSON</t>
        </is>
      </c>
      <c r="K23" s="30" t="n">
        <v>46303</v>
      </c>
      <c r="L23" s="29" t="inlineStr">
        <is>
          <t>RTL</t>
        </is>
      </c>
    </row>
    <row r="24" ht="15" customHeight="1" s="21">
      <c r="A24" s="29" t="inlineStr">
        <is>
          <t>PU-023</t>
        </is>
      </c>
      <c r="B24" s="29" t="inlineStr">
        <is>
          <t>Login</t>
        </is>
      </c>
      <c r="C24" s="29" t="inlineStr">
        <is>
          <t>Form Submit</t>
        </is>
      </c>
      <c r="D24" s="29" t="inlineStr">
        <is>
          <t>Normal</t>
        </is>
      </c>
      <c r="E24" s="29" t="inlineStr">
        <is>
          <t>Validacion Login</t>
        </is>
      </c>
      <c r="F24" s="29" t="inlineStr">
        <is>
          <t>email y pass</t>
        </is>
      </c>
      <c r="G24" s="29" t="inlineStr">
        <is>
          <t>Ejecuta login exitoso</t>
        </is>
      </c>
      <c r="H24" s="29" t="inlineStr">
        <is>
          <t>Ejecuta login exitoso</t>
        </is>
      </c>
      <c r="I24" s="29" t="inlineStr">
        <is>
          <t>Paso</t>
        </is>
      </c>
      <c r="J24" s="29" t="inlineStr">
        <is>
          <t>TraiganmenAlJSON</t>
        </is>
      </c>
      <c r="K24" s="30" t="n">
        <v>46303</v>
      </c>
      <c r="L24" s="29" t="inlineStr">
        <is>
          <t>RTL</t>
        </is>
      </c>
    </row>
    <row r="25" ht="15" customHeight="1" s="21">
      <c r="A25" s="29" t="inlineStr">
        <is>
          <t>PU-024</t>
        </is>
      </c>
      <c r="B25" s="29" t="inlineStr">
        <is>
          <t>Admin</t>
        </is>
      </c>
      <c r="C25" s="29" t="inlineStr">
        <is>
          <t>Acceso</t>
        </is>
      </c>
      <c r="D25" s="29" t="inlineStr">
        <is>
          <t>Seguridad</t>
        </is>
      </c>
      <c r="E25" s="29" t="inlineStr">
        <is>
          <t>Bloquea usuario normal</t>
        </is>
      </c>
      <c r="F25" s="29" t="inlineStr">
        <is>
          <t>Usuario no admin</t>
        </is>
      </c>
      <c r="G25" s="29" t="inlineStr">
        <is>
          <t>No renderiza panel</t>
        </is>
      </c>
      <c r="H25" s="29" t="inlineStr">
        <is>
          <t>No renderiza panel</t>
        </is>
      </c>
      <c r="I25" s="29" t="inlineStr">
        <is>
          <t>Paso</t>
        </is>
      </c>
      <c r="J25" s="29" t="inlineStr">
        <is>
          <t>TraiganmenAlJSON</t>
        </is>
      </c>
      <c r="K25" s="30" t="n">
        <v>46303</v>
      </c>
      <c r="L25" s="29" t="inlineStr">
        <is>
          <t>RTL</t>
        </is>
      </c>
    </row>
    <row r="26" ht="15" customHeight="1" s="21">
      <c r="A26" s="29" t="inlineStr">
        <is>
          <t>PU-025</t>
        </is>
      </c>
      <c r="B26" s="29" t="inlineStr">
        <is>
          <t>Admin</t>
        </is>
      </c>
      <c r="C26" s="29" t="inlineStr">
        <is>
          <t>Form Submit</t>
        </is>
      </c>
      <c r="D26" s="29" t="inlineStr">
        <is>
          <t>Normal</t>
        </is>
      </c>
      <c r="E26" s="29" t="inlineStr">
        <is>
          <t>Agrega producto via Modal</t>
        </is>
      </c>
      <c r="F26" s="29" t="inlineStr">
        <is>
          <t>Formulario completo</t>
        </is>
      </c>
      <c r="G26" s="29" t="inlineStr">
        <is>
          <t>Agrega producto mockeado</t>
        </is>
      </c>
      <c r="H26" s="29" t="inlineStr">
        <is>
          <t>Producto agregado</t>
        </is>
      </c>
      <c r="I26" s="29" t="inlineStr">
        <is>
          <t>Paso</t>
        </is>
      </c>
      <c r="J26" s="29" t="inlineStr">
        <is>
          <t>TraiganmenAlJSON</t>
        </is>
      </c>
      <c r="K26" s="30" t="n">
        <v>46303</v>
      </c>
      <c r="L26" s="29" t="inlineStr">
        <is>
          <t>RTL</t>
        </is>
      </c>
    </row>
    <row r="27" ht="15" customHeight="1" s="2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30" t="n"/>
      <c r="L27" s="29" t="n"/>
    </row>
    <row r="28" ht="15" customHeight="1" s="2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30" t="n"/>
      <c r="L28" s="29" t="n"/>
    </row>
    <row r="29" ht="15" customHeight="1" s="2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30" t="n"/>
      <c r="L29" s="29" t="n"/>
    </row>
    <row r="30" ht="15" customHeight="1" s="2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30" t="n"/>
      <c r="L30" s="29" t="n"/>
    </row>
    <row r="31" ht="15" customHeight="1" s="2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30" t="n"/>
      <c r="L31" s="29" t="n"/>
    </row>
    <row r="32" ht="15" customHeight="1" s="2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30" t="n"/>
      <c r="L32" s="29" t="n"/>
    </row>
    <row r="33" ht="15" customHeight="1" s="21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30" t="n"/>
      <c r="L33" s="29" t="n"/>
    </row>
    <row r="34" ht="15" customHeight="1" s="2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30" t="n"/>
      <c r="L34" s="29" t="n"/>
    </row>
    <row r="35" ht="15" customHeight="1" s="21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30" t="n"/>
      <c r="L35" s="29" t="n"/>
    </row>
    <row r="36" ht="15" customHeight="1" s="2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30" t="n"/>
      <c r="L36" s="29" t="n"/>
    </row>
    <row r="37" ht="15" customHeight="1" s="21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30" t="n"/>
      <c r="L37" s="29" t="n"/>
    </row>
    <row r="38" ht="15" customHeight="1" s="21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30" t="n"/>
      <c r="L38" s="29" t="n"/>
    </row>
    <row r="39" ht="15" customHeight="1" s="21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30" t="n"/>
      <c r="L39" s="29" t="n"/>
    </row>
    <row r="40" ht="15" customHeight="1" s="21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30" t="n"/>
      <c r="L40" s="29" t="n"/>
    </row>
    <row r="41" ht="15" customHeight="1" s="2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30" t="n"/>
      <c r="L41" s="29" t="n"/>
    </row>
    <row r="42" ht="15" customHeight="1" s="2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30" t="n"/>
      <c r="L42" s="29" t="n"/>
    </row>
    <row r="43" ht="15" customHeight="1" s="21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30" t="n"/>
      <c r="L43" s="29" t="n"/>
    </row>
    <row r="44" ht="15" customHeight="1" s="21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30" t="n"/>
      <c r="L44" s="29" t="n"/>
    </row>
    <row r="45" ht="15" customHeight="1" s="21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30" t="n"/>
      <c r="L45" s="29" t="n"/>
    </row>
    <row r="46" ht="15" customHeight="1" s="21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30" t="n"/>
      <c r="L46" s="29" t="n"/>
    </row>
    <row r="47" ht="15" customHeight="1" s="2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30" t="n"/>
      <c r="L47" s="29" t="n"/>
    </row>
    <row r="48" ht="15" customHeight="1" s="2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30" t="n"/>
      <c r="L48" s="29" t="n"/>
    </row>
    <row r="49" ht="15" customHeight="1" s="21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30" t="n"/>
      <c r="L49" s="29" t="n"/>
    </row>
    <row r="50" ht="15" customHeight="1" s="21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30" t="n"/>
      <c r="L50" s="29" t="n"/>
    </row>
    <row r="51" ht="15" customHeight="1" s="2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30" t="n"/>
      <c r="L51" s="29" t="n"/>
    </row>
    <row r="52" ht="15" customHeight="1" s="21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30" t="n"/>
      <c r="L52" s="29" t="n"/>
    </row>
    <row r="53" ht="15" customHeight="1" s="21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30" t="n"/>
      <c r="L53" s="29" t="n"/>
    </row>
    <row r="54" ht="15" customHeight="1" s="21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30" t="n"/>
      <c r="L54" s="29" t="n"/>
    </row>
    <row r="55" ht="15" customHeight="1" s="21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n"/>
      <c r="L55" s="29" t="n"/>
    </row>
    <row r="56" ht="15" customHeight="1" s="21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30" t="n"/>
      <c r="L56" s="29" t="n"/>
    </row>
    <row r="57" ht="15" customHeight="1" s="21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30" t="n"/>
      <c r="L57" s="29" t="n"/>
    </row>
    <row r="58" ht="15" customHeight="1" s="21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30" t="n"/>
      <c r="L58" s="29" t="n"/>
    </row>
    <row r="59" ht="15" customHeight="1" s="21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30" t="n"/>
      <c r="L59" s="29" t="n"/>
    </row>
    <row r="60" ht="15" customHeight="1" s="21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30" t="n"/>
      <c r="L60" s="29" t="n"/>
    </row>
    <row r="61" ht="15" customHeight="1" s="2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30" t="n"/>
      <c r="L61" s="29" t="n"/>
    </row>
    <row r="62" ht="15" customHeight="1" s="21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30" t="n"/>
      <c r="L62" s="29" t="n"/>
    </row>
    <row r="63" ht="15" customHeight="1" s="21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30" t="n"/>
      <c r="L63" s="29" t="n"/>
    </row>
    <row r="64" ht="15" customHeight="1" s="21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30" t="n"/>
      <c r="L64" s="29" t="n"/>
    </row>
    <row r="65" ht="15" customHeight="1" s="21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30" t="n"/>
      <c r="L65" s="29" t="n"/>
    </row>
    <row r="66" ht="15" customHeight="1" s="21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30" t="n"/>
      <c r="L66" s="29" t="n"/>
    </row>
    <row r="67" ht="15" customHeight="1" s="21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30" t="n"/>
      <c r="L67" s="29" t="n"/>
    </row>
    <row r="68" ht="15" customHeight="1" s="21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30" t="n"/>
      <c r="L68" s="29" t="n"/>
    </row>
    <row r="69" ht="15" customHeight="1" s="21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30" t="n"/>
      <c r="L69" s="29" t="n"/>
    </row>
    <row r="70" ht="15" customHeight="1" s="21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30" t="n"/>
      <c r="L70" s="29" t="n"/>
    </row>
    <row r="71" ht="15" customHeight="1" s="2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30" t="n"/>
      <c r="L71" s="29" t="n"/>
    </row>
    <row r="72" ht="15" customHeight="1" s="2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30" t="n"/>
      <c r="L72" s="29" t="n"/>
    </row>
    <row r="73" ht="15" customHeight="1" s="2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30" t="n"/>
      <c r="L73" s="29" t="n"/>
    </row>
    <row r="74" ht="15" customHeight="1" s="2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30" t="n"/>
      <c r="L74" s="29" t="n"/>
    </row>
    <row r="75" ht="15" customHeight="1" s="2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30" t="n"/>
      <c r="L75" s="29" t="n"/>
    </row>
    <row r="76" ht="15" customHeight="1" s="2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30" t="n"/>
      <c r="L76" s="29" t="n"/>
    </row>
    <row r="77" ht="15" customHeight="1" s="2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30" t="n"/>
      <c r="L77" s="29" t="n"/>
    </row>
    <row r="78" ht="15" customHeight="1" s="2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30" t="n"/>
      <c r="L78" s="29" t="n"/>
    </row>
    <row r="79" ht="15" customHeight="1" s="2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30" t="n"/>
      <c r="L79" s="29" t="n"/>
    </row>
    <row r="80" ht="15" customHeight="1" s="2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30" t="n"/>
      <c r="L80" s="29" t="n"/>
    </row>
    <row r="81" ht="15" customHeight="1" s="2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30" t="n"/>
      <c r="L81" s="29" t="n"/>
    </row>
    <row r="82" ht="15" customHeight="1" s="21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30" t="n"/>
      <c r="L82" s="29" t="n"/>
    </row>
    <row r="83" ht="15" customHeight="1" s="2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30" t="n"/>
      <c r="L83" s="29" t="n"/>
    </row>
    <row r="84" ht="15" customHeight="1" s="2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30" t="n"/>
      <c r="L84" s="29" t="n"/>
    </row>
    <row r="85" ht="15" customHeight="1" s="2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30" t="n"/>
      <c r="L85" s="29" t="n"/>
    </row>
    <row r="86" ht="15" customHeight="1" s="2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30" t="n"/>
      <c r="L86" s="29" t="n"/>
    </row>
    <row r="87" ht="15" customHeight="1" s="2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30" t="n"/>
      <c r="L87" s="29" t="n"/>
    </row>
    <row r="88" ht="15" customHeight="1" s="2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30" t="n"/>
      <c r="L88" s="29" t="n"/>
    </row>
    <row r="89" ht="15" customHeight="1" s="2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30" t="n"/>
      <c r="L89" s="29" t="n"/>
    </row>
    <row r="90" ht="15" customHeight="1" s="2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30" t="n"/>
      <c r="L90" s="29" t="n"/>
    </row>
    <row r="91" ht="15" customHeight="1" s="2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30" t="n"/>
      <c r="L91" s="29" t="n"/>
    </row>
    <row r="92" ht="15" customHeight="1" s="21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30" t="n"/>
      <c r="L92" s="29" t="n"/>
    </row>
    <row r="93" ht="15" customHeight="1" s="21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30" t="n"/>
      <c r="L93" s="29" t="n"/>
    </row>
    <row r="94" ht="15" customHeight="1" s="2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30" t="n"/>
      <c r="L94" s="29" t="n"/>
    </row>
    <row r="95" ht="15" customHeight="1" s="2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30" t="n"/>
      <c r="L95" s="29" t="n"/>
    </row>
    <row r="96" ht="15" customHeight="1" s="2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30" t="n"/>
      <c r="L96" s="29" t="n"/>
    </row>
    <row r="97" ht="15" customHeight="1" s="2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30" t="n"/>
      <c r="L97" s="29" t="n"/>
    </row>
    <row r="98" ht="15" customHeight="1" s="2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30" t="n"/>
      <c r="L98" s="29" t="n"/>
    </row>
    <row r="99" ht="15" customHeight="1" s="2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30" t="n"/>
      <c r="L99" s="29" t="n"/>
    </row>
    <row r="100" ht="15" customHeight="1" s="2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30" t="n"/>
      <c r="L100" s="29" t="n"/>
    </row>
    <row r="101" ht="15" customHeight="1" s="2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30" t="n"/>
      <c r="L101" s="29" t="n"/>
    </row>
    <row r="102" ht="15" customHeight="1" s="2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30" t="n"/>
      <c r="L102" s="29" t="n"/>
    </row>
    <row r="103" ht="15" customHeight="1" s="21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30" t="n"/>
      <c r="L103" s="29" t="n"/>
    </row>
    <row r="104" ht="15" customHeight="1" s="21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30" t="n"/>
      <c r="L104" s="29" t="n"/>
    </row>
    <row r="105" ht="15" customHeight="1" s="21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30" t="n"/>
      <c r="L105" s="29" t="n"/>
    </row>
    <row r="106" ht="15" customHeight="1" s="21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30" t="n"/>
      <c r="L106" s="29" t="n"/>
    </row>
    <row r="107" ht="15" customHeight="1" s="21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30" t="n"/>
      <c r="L107" s="29" t="n"/>
    </row>
    <row r="108" ht="15" customHeight="1" s="21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30" t="n"/>
      <c r="L108" s="29" t="n"/>
    </row>
    <row r="109" ht="15" customHeight="1" s="21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30" t="n"/>
      <c r="L109" s="29" t="n"/>
    </row>
    <row r="110" ht="15" customHeight="1" s="21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30" t="n"/>
      <c r="L110" s="29" t="n"/>
    </row>
    <row r="111" ht="15" customHeight="1" s="2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30" t="n"/>
      <c r="L111" s="29" t="n"/>
    </row>
    <row r="112" ht="15" customHeight="1" s="21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30" t="n"/>
      <c r="L112" s="29" t="n"/>
    </row>
    <row r="113" ht="15" customHeight="1" s="21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30" t="n"/>
      <c r="L113" s="29" t="n"/>
    </row>
    <row r="114" ht="15" customHeight="1" s="21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30" t="n"/>
      <c r="L114" s="29" t="n"/>
    </row>
    <row r="115" ht="15" customHeight="1" s="21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30" t="n"/>
      <c r="L115" s="29" t="n"/>
    </row>
    <row r="116" ht="15" customHeight="1" s="21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30" t="n"/>
      <c r="L116" s="29" t="n"/>
    </row>
    <row r="117" ht="15" customHeight="1" s="21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30" t="n"/>
      <c r="L117" s="29" t="n"/>
    </row>
    <row r="118" ht="15" customHeight="1" s="21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30" t="n"/>
      <c r="L118" s="29" t="n"/>
    </row>
    <row r="119" ht="15" customHeight="1" s="21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30" t="n"/>
      <c r="L119" s="29" t="n"/>
    </row>
    <row r="120" ht="15" customHeight="1" s="21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30" t="n"/>
      <c r="L120" s="29" t="n"/>
    </row>
    <row r="121" ht="15" customHeight="1" s="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30" t="n"/>
      <c r="L121" s="29" t="n"/>
    </row>
    <row r="122" ht="15" customHeight="1" s="21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30" t="n"/>
      <c r="L122" s="29" t="n"/>
    </row>
    <row r="123" ht="15" customHeight="1" s="21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30" t="n"/>
      <c r="L123" s="29" t="n"/>
    </row>
    <row r="124" ht="15" customHeight="1" s="21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30" t="n"/>
      <c r="L124" s="29" t="n"/>
    </row>
    <row r="125" ht="15" customHeight="1" s="21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30" t="n"/>
      <c r="L125" s="29" t="n"/>
    </row>
    <row r="126" ht="15" customHeight="1" s="21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30" t="n"/>
      <c r="L126" s="29" t="n"/>
    </row>
    <row r="127" ht="15" customHeight="1" s="21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30" t="n"/>
      <c r="L127" s="29" t="n"/>
    </row>
    <row r="128" ht="15" customHeight="1" s="21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30" t="n"/>
      <c r="L128" s="29" t="n"/>
    </row>
    <row r="129" ht="15" customHeight="1" s="21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30" t="n"/>
      <c r="L129" s="29" t="n"/>
    </row>
    <row r="130" ht="15" customHeight="1" s="21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30" t="n"/>
      <c r="L130" s="29" t="n"/>
    </row>
    <row r="131" ht="15" customHeight="1" s="2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30" t="n"/>
      <c r="L131" s="29" t="n"/>
    </row>
    <row r="132" ht="15" customHeight="1" s="21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30" t="n"/>
      <c r="L132" s="29" t="n"/>
    </row>
    <row r="133" ht="15" customHeight="1" s="21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30" t="n"/>
      <c r="L133" s="29" t="n"/>
    </row>
    <row r="134" ht="15" customHeight="1" s="21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30" t="n"/>
      <c r="L134" s="29" t="n"/>
    </row>
    <row r="135" ht="15" customHeight="1" s="21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30" t="n"/>
      <c r="L135" s="29" t="n"/>
    </row>
    <row r="136" ht="15" customHeight="1" s="21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30" t="n"/>
      <c r="L136" s="29" t="n"/>
    </row>
    <row r="137" ht="15" customHeight="1" s="21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30" t="n"/>
      <c r="L137" s="29" t="n"/>
    </row>
    <row r="138" ht="15" customHeight="1" s="21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30" t="n"/>
      <c r="L138" s="29" t="n"/>
    </row>
    <row r="139" ht="15" customHeight="1" s="21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30" t="n"/>
      <c r="L139" s="29" t="n"/>
    </row>
    <row r="140" ht="15" customHeight="1" s="21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30" t="n"/>
      <c r="L140" s="29" t="n"/>
    </row>
    <row r="141" ht="15" customHeight="1" s="2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30" t="n"/>
      <c r="L141" s="29" t="n"/>
    </row>
    <row r="142" ht="15" customHeight="1" s="21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30" t="n"/>
      <c r="L142" s="29" t="n"/>
    </row>
    <row r="143" ht="15" customHeight="1" s="21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30" t="n"/>
      <c r="L143" s="29" t="n"/>
    </row>
    <row r="144" ht="15" customHeight="1" s="21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30" t="n"/>
      <c r="L144" s="29" t="n"/>
    </row>
    <row r="145" ht="15" customHeight="1" s="21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30" t="n"/>
      <c r="L145" s="29" t="n"/>
    </row>
    <row r="146" ht="15" customHeight="1" s="21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30" t="n"/>
      <c r="L146" s="29" t="n"/>
    </row>
    <row r="147" ht="15" customHeight="1" s="21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30" t="n"/>
      <c r="L147" s="29" t="n"/>
    </row>
    <row r="148" ht="15" customHeight="1" s="21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30" t="n"/>
      <c r="L148" s="29" t="n"/>
    </row>
    <row r="149" ht="15" customHeight="1" s="21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30" t="n"/>
      <c r="L149" s="29" t="n"/>
    </row>
    <row r="150" ht="15" customHeight="1" s="21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30" t="n"/>
      <c r="L150" s="29" t="n"/>
    </row>
    <row r="151" ht="15" customHeight="1" s="2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30" t="n"/>
      <c r="L151" s="29" t="n"/>
    </row>
    <row r="152" ht="15" customHeight="1" s="21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30" t="n"/>
      <c r="L152" s="29" t="n"/>
    </row>
    <row r="153" ht="15" customHeight="1" s="21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30" t="n"/>
      <c r="L153" s="29" t="n"/>
    </row>
    <row r="154" ht="15" customHeight="1" s="21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30" t="n"/>
      <c r="L154" s="29" t="n"/>
    </row>
    <row r="155" ht="15" customHeight="1" s="21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30" t="n"/>
      <c r="L155" s="29" t="n"/>
    </row>
    <row r="156" ht="15" customHeight="1" s="21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30" t="n"/>
      <c r="L156" s="29" t="n"/>
    </row>
    <row r="157" ht="15" customHeight="1" s="21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30" t="n"/>
      <c r="L157" s="29" t="n"/>
    </row>
    <row r="158" ht="15" customHeight="1" s="21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30" t="n"/>
      <c r="L158" s="29" t="n"/>
    </row>
    <row r="159" ht="15" customHeight="1" s="21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30" t="n"/>
      <c r="L159" s="29" t="n"/>
    </row>
    <row r="160" ht="15" customHeight="1" s="21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30" t="n"/>
      <c r="L160" s="29" t="n"/>
    </row>
    <row r="161" ht="15" customHeight="1" s="2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30" t="n"/>
      <c r="L161" s="29" t="n"/>
    </row>
    <row r="162" ht="15" customHeight="1" s="21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30" t="n"/>
      <c r="L162" s="29" t="n"/>
    </row>
    <row r="163" ht="15" customHeight="1" s="2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30" t="n"/>
      <c r="L163" s="29" t="n"/>
    </row>
    <row r="164" ht="15" customHeight="1" s="21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30" t="n"/>
      <c r="L164" s="29" t="n"/>
    </row>
    <row r="165" ht="15" customHeight="1" s="21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30" t="n"/>
      <c r="L165" s="29" t="n"/>
    </row>
    <row r="166" ht="15" customHeight="1" s="21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30" t="n"/>
      <c r="L166" s="29" t="n"/>
    </row>
    <row r="167" ht="15" customHeight="1" s="21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30" t="n"/>
      <c r="L167" s="29" t="n"/>
    </row>
    <row r="168" ht="15" customHeight="1" s="21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30" t="n"/>
      <c r="L168" s="29" t="n"/>
    </row>
    <row r="169" ht="15" customHeight="1" s="21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30" t="n"/>
      <c r="L169" s="29" t="n"/>
    </row>
    <row r="170" ht="15" customHeight="1" s="21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30" t="n"/>
      <c r="L170" s="29" t="n"/>
    </row>
    <row r="171" ht="15" customHeight="1" s="2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30" t="n"/>
      <c r="L171" s="29" t="n"/>
    </row>
    <row r="172" ht="15" customHeight="1" s="21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30" t="n"/>
      <c r="L172" s="29" t="n"/>
    </row>
    <row r="173" ht="15" customHeight="1" s="21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30" t="n"/>
      <c r="L173" s="29" t="n"/>
    </row>
    <row r="174" ht="15" customHeight="1" s="21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30" t="n"/>
      <c r="L174" s="29" t="n"/>
    </row>
    <row r="175" ht="15" customHeight="1" s="21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30" t="n"/>
      <c r="L175" s="29" t="n"/>
    </row>
    <row r="176" ht="15" customHeight="1" s="21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30" t="n"/>
      <c r="L176" s="29" t="n"/>
    </row>
    <row r="177" ht="15" customHeight="1" s="21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30" t="n"/>
      <c r="L177" s="29" t="n"/>
    </row>
    <row r="178" ht="15" customHeight="1" s="21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30" t="n"/>
      <c r="L178" s="29" t="n"/>
    </row>
    <row r="179" ht="15" customHeight="1" s="21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30" t="n"/>
      <c r="L179" s="29" t="n"/>
    </row>
    <row r="180" ht="15" customHeight="1" s="21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30" t="n"/>
      <c r="L180" s="29" t="n"/>
    </row>
    <row r="181" ht="15" customHeight="1" s="2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30" t="n"/>
      <c r="L181" s="29" t="n"/>
    </row>
    <row r="182" ht="15" customHeight="1" s="21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30" t="n"/>
      <c r="L182" s="29" t="n"/>
    </row>
    <row r="183" ht="15" customHeight="1" s="21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30" t="n"/>
      <c r="L183" s="29" t="n"/>
    </row>
    <row r="184" ht="15" customHeight="1" s="21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30" t="n"/>
      <c r="L184" s="29" t="n"/>
    </row>
    <row r="185" ht="15" customHeight="1" s="21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30" t="n"/>
      <c r="L185" s="29" t="n"/>
    </row>
    <row r="186" ht="15" customHeight="1" s="21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30" t="n"/>
      <c r="L186" s="29" t="n"/>
    </row>
    <row r="187" ht="15" customHeight="1" s="21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30" t="n"/>
      <c r="L187" s="29" t="n"/>
    </row>
    <row r="188" ht="15" customHeight="1" s="21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30" t="n"/>
      <c r="L188" s="29" t="n"/>
    </row>
    <row r="189" ht="15" customHeight="1" s="21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30" t="n"/>
      <c r="L189" s="29" t="n"/>
    </row>
    <row r="190" ht="15" customHeight="1" s="21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30" t="n"/>
      <c r="L190" s="29" t="n"/>
    </row>
    <row r="191" ht="15" customHeight="1" s="2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30" t="n"/>
      <c r="L191" s="29" t="n"/>
    </row>
    <row r="192" ht="15" customHeight="1" s="21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30" t="n"/>
      <c r="L192" s="29" t="n"/>
    </row>
    <row r="193" ht="15" customHeight="1" s="21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30" t="n"/>
      <c r="L193" s="29" t="n"/>
    </row>
    <row r="194" ht="15" customHeight="1" s="21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30" t="n"/>
      <c r="L194" s="29" t="n"/>
    </row>
    <row r="195" ht="15" customHeight="1" s="21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30" t="n"/>
      <c r="L195" s="29" t="n"/>
    </row>
    <row r="196" ht="15" customHeight="1" s="21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30" t="n"/>
      <c r="L196" s="29" t="n"/>
    </row>
    <row r="197" ht="15" customHeight="1" s="21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30" t="n"/>
      <c r="L197" s="29" t="n"/>
    </row>
    <row r="198" ht="15" customHeight="1" s="21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30" t="n"/>
      <c r="L198" s="29" t="n"/>
    </row>
    <row r="199" ht="15" customHeight="1" s="21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30" t="n"/>
      <c r="L199" s="29" t="n"/>
    </row>
    <row r="200" ht="15" customHeight="1" s="21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30" t="n"/>
      <c r="L200" s="29" t="n"/>
    </row>
    <row r="201" ht="15" customHeight="1" s="2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30" t="n"/>
      <c r="L201" s="29" t="n"/>
    </row>
  </sheetData>
  <autoFilter ref="A1:L201"/>
  <conditionalFormatting sqref="I2:I201">
    <cfRule type="cellIs" rank="0" priority="2" equalAverage="0" operator="equal" aboveAverage="0" dxfId="6" text="" percent="0" bottom="0">
      <formula>"Pasó"</formula>
    </cfRule>
    <cfRule type="cellIs" rank="0" priority="3" equalAverage="0" operator="equal" aboveAverage="0" dxfId="7" text="" percent="0" bottom="0">
      <formula>"Falló"</formula>
    </cfRule>
    <cfRule type="cellIs" rank="0" priority="4" equalAverage="0" operator="equal" aboveAverage="0" dxfId="8" text="" percent="0" bottom="0">
      <formula>"Pendiente"</formula>
    </cfRule>
    <cfRule type="cellIs" rank="0" priority="5" equalAverage="0" operator="equal" aboveAverage="0" dxfId="9" text="" percent="0" bottom="0">
      <formula>"Omitido"</formula>
    </cfRule>
  </conditionalFormatting>
  <dataValidations count="2">
    <dataValidation sqref="I2:I201" showDropDown="0" showInputMessage="0" showErrorMessage="0" allowBlank="1" type="list" errorStyle="stop" operator="between">
      <formula1>"Pasó,Falló,Pendiente,Omitido"</formula1>
      <formula2>0</formula2>
    </dataValidation>
    <dataValidation sqref="D2:D201" showDropDown="0" showInputMessage="0" showErrorMessage="0" allowBlank="1" type="list" errorStyle="stop" operator="between">
      <formula1>"Normal,Borde,Error"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12" customWidth="1" style="20" min="2" max="4"/>
  </cols>
  <sheetData>
    <row r="1" ht="19.7" customHeight="1" s="21">
      <c r="A1" s="22" t="inlineStr">
        <is>
          <t>Resumen de Pruebas</t>
        </is>
      </c>
    </row>
    <row r="3" ht="15" customHeight="1" s="21">
      <c r="A3" s="31" t="inlineStr">
        <is>
          <t>Total de casos</t>
        </is>
      </c>
      <c r="B3" s="32">
        <f>COUNTA('Casos de Prueba'!A2:A201)</f>
        <v/>
      </c>
    </row>
    <row r="4" ht="15" customHeight="1" s="21">
      <c r="A4" s="33" t="inlineStr">
        <is>
          <t>Pasó</t>
        </is>
      </c>
      <c r="B4" s="32">
        <f>COUNTIF('Casos de Prueba'!I2:I201,"Pasó")</f>
        <v/>
      </c>
    </row>
    <row r="5" ht="15" customHeight="1" s="21">
      <c r="A5" s="34" t="inlineStr">
        <is>
          <t>Falló</t>
        </is>
      </c>
      <c r="B5" s="32">
        <f>COUNTIF('Casos de Prueba'!I2:I201,"Falló")</f>
        <v/>
      </c>
    </row>
    <row r="6" ht="15" customHeight="1" s="21">
      <c r="A6" s="35" t="inlineStr">
        <is>
          <t>Pendiente</t>
        </is>
      </c>
      <c r="B6" s="32">
        <f>COUNTIF('Casos de Prueba'!I2:I201,"Pendiente")</f>
        <v/>
      </c>
    </row>
    <row r="7" ht="15" customHeight="1" s="21">
      <c r="A7" s="36" t="inlineStr">
        <is>
          <t>Omitido</t>
        </is>
      </c>
      <c r="B7" s="32">
        <f>COUNTIF('Casos de Prueba'!I2:I201,"Omitido")</f>
        <v/>
      </c>
    </row>
    <row r="8" ht="15" customHeight="1" s="21">
      <c r="A8" s="31" t="inlineStr">
        <is>
          <t>Sin estado</t>
        </is>
      </c>
      <c r="B8" s="32">
        <f>B3-SUM(B4:B7)</f>
        <v/>
      </c>
    </row>
    <row r="9" ht="15" customHeight="1" s="21">
      <c r="A9" s="31" t="inlineStr">
        <is>
          <t>% de éxito (Pasó / ejecutados)</t>
        </is>
      </c>
      <c r="B9" s="37">
        <f>IFERROR(B4/(B4+B5),0)</f>
        <v/>
      </c>
    </row>
    <row r="10" ht="15" customHeight="1" s="21">
      <c r="A10" s="31" t="inlineStr">
        <is>
          <t>% de avance (ejecutados / total)</t>
        </is>
      </c>
      <c r="B10" s="37">
        <f>IFERROR((B4+B5+B7)/B3,0)</f>
        <v/>
      </c>
    </row>
    <row r="13" ht="15" customHeight="1" s="21">
      <c r="A13" s="26" t="inlineStr">
        <is>
          <t>Por tipo de caso</t>
        </is>
      </c>
    </row>
    <row r="14" ht="15" customHeight="1" s="21">
      <c r="A14" s="38" t="inlineStr">
        <is>
          <t>Tipo</t>
        </is>
      </c>
      <c r="B14" s="38" t="inlineStr">
        <is>
          <t>Total</t>
        </is>
      </c>
      <c r="C14" s="38" t="inlineStr">
        <is>
          <t>Pasó</t>
        </is>
      </c>
      <c r="D14" s="38" t="inlineStr">
        <is>
          <t>Falló</t>
        </is>
      </c>
    </row>
    <row r="15" ht="15" customHeight="1" s="21">
      <c r="A15" s="39" t="inlineStr">
        <is>
          <t>Normal</t>
        </is>
      </c>
      <c r="B15" s="32">
        <f>COUNTIF('Casos de Prueba'!D2:D201,A15)</f>
        <v/>
      </c>
      <c r="C15" s="32">
        <f>COUNTIFS('Casos de Prueba'!D2:D201,A15,'Casos de Prueba'!I2:I201,"Pasó")</f>
        <v/>
      </c>
      <c r="D15" s="32">
        <f>COUNTIFS('Casos de Prueba'!D2:D201,A15,'Casos de Prueba'!I2:I201,"Falló")</f>
        <v/>
      </c>
    </row>
    <row r="16" ht="15" customHeight="1" s="21">
      <c r="A16" s="39" t="inlineStr">
        <is>
          <t>Borde</t>
        </is>
      </c>
      <c r="B16" s="32">
        <f>COUNTIF('Casos de Prueba'!D2:D201,A16)</f>
        <v/>
      </c>
      <c r="C16" s="32">
        <f>COUNTIFS('Casos de Prueba'!D2:D201,A16,'Casos de Prueba'!I2:I201,"Pasó")</f>
        <v/>
      </c>
      <c r="D16" s="32">
        <f>COUNTIFS('Casos de Prueba'!D2:D201,A16,'Casos de Prueba'!I2:I201,"Falló")</f>
        <v/>
      </c>
    </row>
    <row r="17" ht="15" customHeight="1" s="21">
      <c r="A17" s="39" t="inlineStr">
        <is>
          <t>Error</t>
        </is>
      </c>
      <c r="B17" s="32">
        <f>COUNTIF('Casos de Prueba'!D2:D201,A17)</f>
        <v/>
      </c>
      <c r="C17" s="32">
        <f>COUNTIFS('Casos de Prueba'!D2:D201,A17,'Casos de Prueba'!I2:I201,"Pasó")</f>
        <v/>
      </c>
      <c r="D17" s="32">
        <f>COUNTIFS('Casos de Prueba'!D2:D201,A17,'Casos de Prueba'!I2:I201,"Falló")</f>
        <v/>
      </c>
    </row>
    <row r="20" ht="15" customHeight="1" s="21">
      <c r="A20" s="40" t="inlineStr">
        <is>
          <t>Esta hoja se calcula automáticamente desde 'Casos de Prueba'.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2026-10-08T21:29:09Z</dcterms:created>
  <dcterms:modified xsi:type="dcterms:W3CDTF">2026-10-09T02:42:51Z</dcterms:modified>
  <cp:revision>0</cp:revision>
</cp:coreProperties>
</file>